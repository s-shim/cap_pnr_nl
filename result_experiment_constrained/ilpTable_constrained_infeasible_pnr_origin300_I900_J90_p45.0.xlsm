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924"/>
  <workbookPr defaultThemeVersion="166925"/>
  <mc:AlternateContent xmlns:mc="http://schemas.openxmlformats.org/markup-compatibility/2006">
    <mc:Choice Requires="x15">
      <x15ac:absPath xmlns:x15ac="http://schemas.microsoft.com/office/spreadsheetml/2010/11/ac" url="D:\Working\paperWork_Kim-Shim_nestedLogit\pnr_code_revised\result_experiment_constrained\"/>
    </mc:Choice>
  </mc:AlternateContent>
  <xr:revisionPtr revIDLastSave="0" documentId="13_ncr:40009_{24934D81-5A1B-48B7-A1BF-14B5C96D2094}" xr6:coauthVersionLast="47" xr6:coauthVersionMax="47" xr10:uidLastSave="{00000000-0000-0000-0000-000000000000}"/>
  <bookViews>
    <workbookView xWindow="-120" yWindow="-120" windowWidth="38640" windowHeight="15840"/>
  </bookViews>
  <sheets>
    <sheet name="ilpTable_constrained_infeasible" sheetId="1" r:id="rId1"/>
  </sheets>
  <calcPr calcId="0"/>
</workbook>
</file>

<file path=xl/calcChain.xml><?xml version="1.0" encoding="utf-8"?>
<calcChain xmlns="http://schemas.openxmlformats.org/spreadsheetml/2006/main">
  <c r="AJ16" i="1" l="1"/>
  <c r="AI16" i="1"/>
  <c r="AG16" i="1"/>
  <c r="U16" i="1"/>
  <c r="T16" i="1"/>
  <c r="M16" i="1"/>
  <c r="L16" i="1"/>
  <c r="J16" i="1"/>
  <c r="AJ15" i="1"/>
  <c r="AI15" i="1"/>
  <c r="AG15" i="1"/>
  <c r="U15" i="1"/>
  <c r="T15" i="1"/>
  <c r="M15" i="1"/>
  <c r="L15" i="1"/>
  <c r="J15" i="1"/>
  <c r="AJ14" i="1"/>
  <c r="AI14" i="1"/>
  <c r="AG14" i="1"/>
  <c r="U14" i="1"/>
  <c r="T14" i="1"/>
  <c r="M14" i="1"/>
  <c r="L14" i="1"/>
  <c r="J14" i="1"/>
  <c r="AJ13" i="1"/>
  <c r="AI13" i="1"/>
  <c r="AG13" i="1"/>
  <c r="U13" i="1"/>
  <c r="T13" i="1"/>
  <c r="M13" i="1"/>
  <c r="L13" i="1"/>
  <c r="J13" i="1"/>
  <c r="AJ11" i="1"/>
  <c r="AJ10" i="1"/>
  <c r="AJ9" i="1"/>
  <c r="AJ8" i="1"/>
  <c r="AJ7" i="1"/>
  <c r="AJ6" i="1"/>
  <c r="AJ5" i="1"/>
  <c r="AJ4" i="1"/>
  <c r="AJ3" i="1"/>
  <c r="AJ2" i="1"/>
  <c r="M11" i="1"/>
  <c r="M10" i="1"/>
  <c r="M9" i="1"/>
  <c r="M8" i="1"/>
  <c r="M7" i="1"/>
  <c r="M6" i="1"/>
  <c r="M5" i="1"/>
  <c r="M4" i="1"/>
  <c r="M3" i="1"/>
  <c r="M2" i="1"/>
</calcChain>
</file>

<file path=xl/sharedStrings.xml><?xml version="1.0" encoding="utf-8"?>
<sst xmlns="http://schemas.openxmlformats.org/spreadsheetml/2006/main" count="69" uniqueCount="23">
  <si>
    <t>Origins</t>
  </si>
  <si>
    <t>I</t>
  </si>
  <si>
    <t>J</t>
  </si>
  <si>
    <t>p</t>
  </si>
  <si>
    <t>instance</t>
  </si>
  <si>
    <t>ILP OPT</t>
  </si>
  <si>
    <t>Accuarate</t>
  </si>
  <si>
    <t>ifUnconstrained</t>
  </si>
  <si>
    <t>underCapacity</t>
  </si>
  <si>
    <t>overCapacity</t>
  </si>
  <si>
    <t>runTime</t>
  </si>
  <si>
    <t>DESKTOP-ASQ3AP9</t>
  </si>
  <si>
    <t>ILP</t>
  </si>
  <si>
    <t>ifConstrained</t>
  </si>
  <si>
    <t>DESKTOP-S7OVCUR</t>
  </si>
  <si>
    <t>Recalculation</t>
  </si>
  <si>
    <t>OPT</t>
  </si>
  <si>
    <t>Accuracy Gap (%)</t>
  </si>
  <si>
    <t>Gap (%)</t>
  </si>
  <si>
    <t>Mean</t>
  </si>
  <si>
    <t>SE</t>
  </si>
  <si>
    <t>Max</t>
  </si>
  <si>
    <t>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</si>
</sst>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33" borderId="0" xfId="0" applyFill="1"/>
    <xf numFmtId="0" fontId="0" fillId="34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16"/>
  <sheetViews>
    <sheetView tabSelected="1" workbookViewId="0">
      <selection activeCell="A13" sqref="A13:XFD16"/>
    </sheetView>
  </sheetViews>
  <sheetFormatPr defaultRowHeight="15" x14ac:dyDescent="0.25"/>
  <cols>
    <col min="10" max="10" width="9.140625" style="1"/>
    <col min="12" max="12" width="9.140625" style="2"/>
    <col min="13" max="13" width="9.140625" style="1"/>
    <col min="33" max="33" width="9.140625" style="1"/>
    <col min="35" max="35" width="9.140625" style="2"/>
  </cols>
  <sheetData>
    <row r="1" spans="1:36" x14ac:dyDescent="0.25">
      <c r="A1" t="s">
        <v>12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8</v>
      </c>
      <c r="K1" t="s">
        <v>9</v>
      </c>
      <c r="L1" s="2" t="s">
        <v>10</v>
      </c>
      <c r="M1" s="1" t="s">
        <v>17</v>
      </c>
      <c r="N1" t="s">
        <v>15</v>
      </c>
      <c r="O1" t="s">
        <v>0</v>
      </c>
      <c r="P1" t="s">
        <v>1</v>
      </c>
      <c r="Q1" t="s">
        <v>2</v>
      </c>
      <c r="R1" t="s">
        <v>3</v>
      </c>
      <c r="S1" t="s">
        <v>4</v>
      </c>
      <c r="T1" t="s">
        <v>13</v>
      </c>
      <c r="U1" t="s">
        <v>8</v>
      </c>
      <c r="V1" t="s">
        <v>9</v>
      </c>
      <c r="X1" t="s">
        <v>16</v>
      </c>
      <c r="Y1" t="s">
        <v>0</v>
      </c>
      <c r="Z1" t="s">
        <v>1</v>
      </c>
      <c r="AA1" t="s">
        <v>2</v>
      </c>
      <c r="AB1" t="s">
        <v>3</v>
      </c>
      <c r="AC1" t="s">
        <v>4</v>
      </c>
      <c r="AD1" t="s">
        <v>5</v>
      </c>
      <c r="AE1" t="s">
        <v>6</v>
      </c>
      <c r="AF1" t="s">
        <v>7</v>
      </c>
      <c r="AG1" s="1" t="s">
        <v>8</v>
      </c>
      <c r="AH1" t="s">
        <v>9</v>
      </c>
      <c r="AI1" s="2" t="s">
        <v>10</v>
      </c>
      <c r="AJ1" t="s">
        <v>18</v>
      </c>
    </row>
    <row r="2" spans="1:36" x14ac:dyDescent="0.25">
      <c r="A2" t="s">
        <v>11</v>
      </c>
      <c r="B2">
        <v>300</v>
      </c>
      <c r="C2">
        <v>900</v>
      </c>
      <c r="D2">
        <v>90</v>
      </c>
      <c r="E2">
        <v>45</v>
      </c>
      <c r="F2">
        <v>0</v>
      </c>
      <c r="G2">
        <v>9412.2234758046307</v>
      </c>
      <c r="H2">
        <v>8121.7977491912397</v>
      </c>
      <c r="I2">
        <v>9412.1564347851399</v>
      </c>
      <c r="J2" s="1">
        <v>22</v>
      </c>
      <c r="K2">
        <v>23</v>
      </c>
      <c r="L2" s="2">
        <v>105.68599987029999</v>
      </c>
      <c r="M2" s="1">
        <f>(G2-H2)/H2*100</f>
        <v>15.888424785533353</v>
      </c>
      <c r="N2" t="s">
        <v>14</v>
      </c>
      <c r="O2">
        <v>300</v>
      </c>
      <c r="P2">
        <v>900</v>
      </c>
      <c r="Q2">
        <v>90</v>
      </c>
      <c r="R2">
        <v>45</v>
      </c>
      <c r="S2">
        <v>0</v>
      </c>
      <c r="T2">
        <v>8121.7977491912397</v>
      </c>
      <c r="U2">
        <v>13</v>
      </c>
      <c r="V2">
        <v>32</v>
      </c>
      <c r="X2" t="s">
        <v>11</v>
      </c>
      <c r="Y2">
        <v>300</v>
      </c>
      <c r="Z2">
        <v>900</v>
      </c>
      <c r="AA2">
        <v>90</v>
      </c>
      <c r="AB2">
        <v>45</v>
      </c>
      <c r="AC2">
        <v>0</v>
      </c>
      <c r="AD2">
        <v>8353.0187976621692</v>
      </c>
      <c r="AE2">
        <v>8352.9315616434797</v>
      </c>
      <c r="AF2">
        <v>16148.121259723001</v>
      </c>
      <c r="AG2" s="1">
        <v>13</v>
      </c>
      <c r="AH2">
        <v>32</v>
      </c>
      <c r="AI2" s="2">
        <v>2930.3420000076198</v>
      </c>
      <c r="AJ2">
        <f>(AE2-T2)/AE2*100</f>
        <v>2.7670981229344971</v>
      </c>
    </row>
    <row r="3" spans="1:36" x14ac:dyDescent="0.25">
      <c r="A3" t="s">
        <v>11</v>
      </c>
      <c r="B3">
        <v>300</v>
      </c>
      <c r="C3">
        <v>900</v>
      </c>
      <c r="D3">
        <v>90</v>
      </c>
      <c r="E3">
        <v>45</v>
      </c>
      <c r="F3">
        <v>1</v>
      </c>
      <c r="G3">
        <v>8048.2633951359503</v>
      </c>
      <c r="H3">
        <v>6332.4883005138399</v>
      </c>
      <c r="I3">
        <v>8048.2001331978399</v>
      </c>
      <c r="J3" s="1">
        <v>28</v>
      </c>
      <c r="K3">
        <v>17</v>
      </c>
      <c r="L3" s="2">
        <v>196.45899987220699</v>
      </c>
      <c r="M3" s="1">
        <f t="shared" ref="M3:M11" si="0">(G3-H3)/H3*100</f>
        <v>27.094800861817408</v>
      </c>
      <c r="N3" t="s">
        <v>14</v>
      </c>
      <c r="O3">
        <v>300</v>
      </c>
      <c r="P3">
        <v>900</v>
      </c>
      <c r="Q3">
        <v>90</v>
      </c>
      <c r="R3">
        <v>45</v>
      </c>
      <c r="S3">
        <v>1</v>
      </c>
      <c r="T3">
        <v>6332.4883005138399</v>
      </c>
      <c r="U3">
        <v>18</v>
      </c>
      <c r="V3">
        <v>27</v>
      </c>
      <c r="X3" t="s">
        <v>11</v>
      </c>
      <c r="Y3">
        <v>300</v>
      </c>
      <c r="Z3">
        <v>900</v>
      </c>
      <c r="AA3">
        <v>90</v>
      </c>
      <c r="AB3">
        <v>45</v>
      </c>
      <c r="AC3">
        <v>1</v>
      </c>
      <c r="AD3">
        <v>6764.2823041059801</v>
      </c>
      <c r="AE3">
        <v>6764.1952958249003</v>
      </c>
      <c r="AF3">
        <v>12497.3209555057</v>
      </c>
      <c r="AG3" s="1">
        <v>17</v>
      </c>
      <c r="AH3">
        <v>28</v>
      </c>
      <c r="AI3" s="2">
        <v>8119.9760000705701</v>
      </c>
      <c r="AJ3">
        <f t="shared" ref="AJ3:AJ11" si="1">(AE3-T3)/AE3*100</f>
        <v>6.3822373014203944</v>
      </c>
    </row>
    <row r="4" spans="1:36" x14ac:dyDescent="0.25">
      <c r="A4" t="s">
        <v>11</v>
      </c>
      <c r="B4">
        <v>300</v>
      </c>
      <c r="C4">
        <v>900</v>
      </c>
      <c r="D4">
        <v>90</v>
      </c>
      <c r="E4">
        <v>45</v>
      </c>
      <c r="F4">
        <v>2</v>
      </c>
      <c r="G4">
        <v>8177.0521631557403</v>
      </c>
      <c r="H4">
        <v>7116.2904285282302</v>
      </c>
      <c r="I4">
        <v>8176.99270007833</v>
      </c>
      <c r="J4" s="1">
        <v>30</v>
      </c>
      <c r="K4">
        <v>15</v>
      </c>
      <c r="L4" s="2">
        <v>189.78599977493201</v>
      </c>
      <c r="M4" s="1">
        <f t="shared" si="0"/>
        <v>14.906105158033773</v>
      </c>
      <c r="N4" t="s">
        <v>14</v>
      </c>
      <c r="O4">
        <v>300</v>
      </c>
      <c r="P4">
        <v>900</v>
      </c>
      <c r="Q4">
        <v>90</v>
      </c>
      <c r="R4">
        <v>45</v>
      </c>
      <c r="S4">
        <v>2</v>
      </c>
      <c r="T4">
        <v>7116.2904285282302</v>
      </c>
      <c r="U4">
        <v>18</v>
      </c>
      <c r="V4">
        <v>27</v>
      </c>
      <c r="X4" t="s">
        <v>11</v>
      </c>
      <c r="Y4">
        <v>300</v>
      </c>
      <c r="Z4">
        <v>900</v>
      </c>
      <c r="AA4">
        <v>90</v>
      </c>
      <c r="AB4">
        <v>45</v>
      </c>
      <c r="AC4">
        <v>2</v>
      </c>
      <c r="AD4">
        <v>7139.1731579340903</v>
      </c>
      <c r="AE4">
        <v>7139.13060713084</v>
      </c>
      <c r="AF4">
        <v>13545.974939521901</v>
      </c>
      <c r="AG4" s="1">
        <v>19</v>
      </c>
      <c r="AH4">
        <v>26</v>
      </c>
      <c r="AI4" s="2">
        <v>2191.3329999446801</v>
      </c>
      <c r="AJ4">
        <f t="shared" si="1"/>
        <v>0.31992941241047029</v>
      </c>
    </row>
    <row r="5" spans="1:36" x14ac:dyDescent="0.25">
      <c r="A5" t="s">
        <v>11</v>
      </c>
      <c r="B5">
        <v>300</v>
      </c>
      <c r="C5">
        <v>900</v>
      </c>
      <c r="D5">
        <v>90</v>
      </c>
      <c r="E5">
        <v>45</v>
      </c>
      <c r="F5">
        <v>3</v>
      </c>
      <c r="G5">
        <v>8101.1474207406</v>
      </c>
      <c r="H5">
        <v>6803.15254813089</v>
      </c>
      <c r="I5">
        <v>8101.0803949026003</v>
      </c>
      <c r="J5" s="1">
        <v>29</v>
      </c>
      <c r="K5">
        <v>16</v>
      </c>
      <c r="L5" s="2">
        <v>260.50600004196099</v>
      </c>
      <c r="M5" s="1">
        <f t="shared" si="0"/>
        <v>19.079314529942788</v>
      </c>
      <c r="N5" t="s">
        <v>14</v>
      </c>
      <c r="O5">
        <v>300</v>
      </c>
      <c r="P5">
        <v>900</v>
      </c>
      <c r="Q5">
        <v>90</v>
      </c>
      <c r="R5">
        <v>45</v>
      </c>
      <c r="S5">
        <v>3</v>
      </c>
      <c r="T5">
        <v>6803.15254813089</v>
      </c>
      <c r="U5">
        <v>21</v>
      </c>
      <c r="V5">
        <v>24</v>
      </c>
      <c r="X5" t="s">
        <v>11</v>
      </c>
      <c r="Y5">
        <v>300</v>
      </c>
      <c r="Z5">
        <v>900</v>
      </c>
      <c r="AA5">
        <v>90</v>
      </c>
      <c r="AB5">
        <v>45</v>
      </c>
      <c r="AC5">
        <v>3</v>
      </c>
      <c r="AD5">
        <v>7157.8056953792102</v>
      </c>
      <c r="AE5">
        <v>7157.74985223363</v>
      </c>
      <c r="AF5">
        <v>13834.0505118908</v>
      </c>
      <c r="AG5" s="1">
        <v>19</v>
      </c>
      <c r="AH5">
        <v>26</v>
      </c>
      <c r="AI5" s="2">
        <v>3449.2889997959101</v>
      </c>
      <c r="AJ5">
        <f t="shared" si="1"/>
        <v>4.9540332007004304</v>
      </c>
    </row>
    <row r="6" spans="1:36" x14ac:dyDescent="0.25">
      <c r="A6" t="s">
        <v>11</v>
      </c>
      <c r="B6">
        <v>300</v>
      </c>
      <c r="C6">
        <v>900</v>
      </c>
      <c r="D6">
        <v>90</v>
      </c>
      <c r="E6">
        <v>45</v>
      </c>
      <c r="F6">
        <v>4</v>
      </c>
      <c r="G6">
        <v>8843.4134259320308</v>
      </c>
      <c r="H6">
        <v>7548.4990661298298</v>
      </c>
      <c r="I6">
        <v>8843.3543843281805</v>
      </c>
      <c r="J6" s="1">
        <v>24</v>
      </c>
      <c r="K6">
        <v>21</v>
      </c>
      <c r="L6" s="2">
        <v>367.87800002097998</v>
      </c>
      <c r="M6" s="1">
        <f t="shared" si="0"/>
        <v>17.154593892877209</v>
      </c>
      <c r="N6" t="s">
        <v>14</v>
      </c>
      <c r="O6">
        <v>300</v>
      </c>
      <c r="P6">
        <v>900</v>
      </c>
      <c r="Q6">
        <v>90</v>
      </c>
      <c r="R6">
        <v>45</v>
      </c>
      <c r="S6">
        <v>4</v>
      </c>
      <c r="T6">
        <v>7548.4990661298298</v>
      </c>
      <c r="U6">
        <v>24</v>
      </c>
      <c r="V6">
        <v>21</v>
      </c>
      <c r="X6" t="s">
        <v>11</v>
      </c>
      <c r="Y6">
        <v>300</v>
      </c>
      <c r="Z6">
        <v>900</v>
      </c>
      <c r="AA6">
        <v>90</v>
      </c>
      <c r="AB6">
        <v>45</v>
      </c>
      <c r="AC6">
        <v>4</v>
      </c>
      <c r="AD6">
        <v>7890.4397695788302</v>
      </c>
      <c r="AE6">
        <v>7890.36503269884</v>
      </c>
      <c r="AF6">
        <v>13314.780897340999</v>
      </c>
      <c r="AG6" s="1">
        <v>22</v>
      </c>
      <c r="AH6">
        <v>23</v>
      </c>
      <c r="AI6" s="2">
        <v>9118.2279999256098</v>
      </c>
      <c r="AJ6">
        <f t="shared" si="1"/>
        <v>4.3327015309465029</v>
      </c>
    </row>
    <row r="7" spans="1:36" x14ac:dyDescent="0.25">
      <c r="A7" t="s">
        <v>11</v>
      </c>
      <c r="B7">
        <v>300</v>
      </c>
      <c r="C7">
        <v>900</v>
      </c>
      <c r="D7">
        <v>90</v>
      </c>
      <c r="E7">
        <v>45</v>
      </c>
      <c r="F7">
        <v>5</v>
      </c>
      <c r="G7">
        <v>8368.03708594005</v>
      </c>
      <c r="H7">
        <v>6393.89700937202</v>
      </c>
      <c r="I7">
        <v>8367.9826027931704</v>
      </c>
      <c r="J7" s="1">
        <v>28</v>
      </c>
      <c r="K7">
        <v>17</v>
      </c>
      <c r="L7" s="2">
        <v>244.95000004768301</v>
      </c>
      <c r="M7" s="1">
        <f t="shared" si="0"/>
        <v>30.87538122172414</v>
      </c>
      <c r="N7" t="s">
        <v>14</v>
      </c>
      <c r="O7">
        <v>300</v>
      </c>
      <c r="P7">
        <v>900</v>
      </c>
      <c r="Q7">
        <v>90</v>
      </c>
      <c r="R7">
        <v>45</v>
      </c>
      <c r="S7">
        <v>5</v>
      </c>
      <c r="T7">
        <v>6393.89700937202</v>
      </c>
      <c r="U7">
        <v>21</v>
      </c>
      <c r="V7">
        <v>24</v>
      </c>
      <c r="X7" t="s">
        <v>11</v>
      </c>
      <c r="Y7">
        <v>300</v>
      </c>
      <c r="Z7">
        <v>900</v>
      </c>
      <c r="AA7">
        <v>90</v>
      </c>
      <c r="AB7">
        <v>45</v>
      </c>
      <c r="AC7">
        <v>5</v>
      </c>
      <c r="AD7">
        <v>7032.8383017069</v>
      </c>
      <c r="AE7">
        <v>7032.7733702999303</v>
      </c>
      <c r="AF7">
        <v>10793.040813707299</v>
      </c>
      <c r="AG7" s="1">
        <v>20</v>
      </c>
      <c r="AH7">
        <v>25</v>
      </c>
      <c r="AI7" s="2">
        <v>9857.0910000800995</v>
      </c>
      <c r="AJ7">
        <f t="shared" si="1"/>
        <v>9.0842734052251117</v>
      </c>
    </row>
    <row r="8" spans="1:36" x14ac:dyDescent="0.25">
      <c r="A8" t="s">
        <v>11</v>
      </c>
      <c r="B8">
        <v>300</v>
      </c>
      <c r="C8">
        <v>900</v>
      </c>
      <c r="D8">
        <v>90</v>
      </c>
      <c r="E8">
        <v>45</v>
      </c>
      <c r="F8">
        <v>6</v>
      </c>
      <c r="G8">
        <v>8042.8974106707001</v>
      </c>
      <c r="H8">
        <v>6462.9825180228199</v>
      </c>
      <c r="I8">
        <v>8042.8139511549398</v>
      </c>
      <c r="J8" s="1">
        <v>28</v>
      </c>
      <c r="K8">
        <v>17</v>
      </c>
      <c r="L8" s="2">
        <v>252.61299991607601</v>
      </c>
      <c r="M8" s="1">
        <f t="shared" si="0"/>
        <v>24.445600591400233</v>
      </c>
      <c r="N8" t="s">
        <v>14</v>
      </c>
      <c r="O8">
        <v>300</v>
      </c>
      <c r="P8">
        <v>900</v>
      </c>
      <c r="Q8">
        <v>90</v>
      </c>
      <c r="R8">
        <v>45</v>
      </c>
      <c r="S8">
        <v>6</v>
      </c>
      <c r="T8">
        <v>6462.9825180228199</v>
      </c>
      <c r="U8">
        <v>20</v>
      </c>
      <c r="V8">
        <v>25</v>
      </c>
      <c r="X8" t="s">
        <v>11</v>
      </c>
      <c r="Y8">
        <v>300</v>
      </c>
      <c r="Z8">
        <v>900</v>
      </c>
      <c r="AA8">
        <v>90</v>
      </c>
      <c r="AB8">
        <v>45</v>
      </c>
      <c r="AC8">
        <v>6</v>
      </c>
      <c r="AD8">
        <v>6917.2060925764099</v>
      </c>
      <c r="AE8">
        <v>6917.15762251468</v>
      </c>
      <c r="AF8">
        <v>13785.7540852534</v>
      </c>
      <c r="AG8" s="1">
        <v>22</v>
      </c>
      <c r="AH8">
        <v>23</v>
      </c>
      <c r="AI8" s="2">
        <v>2050.6429998874601</v>
      </c>
      <c r="AJ8">
        <f t="shared" si="1"/>
        <v>6.565920993524335</v>
      </c>
    </row>
    <row r="9" spans="1:36" x14ac:dyDescent="0.25">
      <c r="A9" t="s">
        <v>11</v>
      </c>
      <c r="B9">
        <v>300</v>
      </c>
      <c r="C9">
        <v>900</v>
      </c>
      <c r="D9">
        <v>90</v>
      </c>
      <c r="E9">
        <v>45</v>
      </c>
      <c r="F9">
        <v>7</v>
      </c>
      <c r="G9">
        <v>8319.5732000490007</v>
      </c>
      <c r="H9">
        <v>6823.9654305852</v>
      </c>
      <c r="I9">
        <v>8319.5223817433907</v>
      </c>
      <c r="J9" s="1">
        <v>24</v>
      </c>
      <c r="K9">
        <v>21</v>
      </c>
      <c r="L9" s="2">
        <v>282.57200002670203</v>
      </c>
      <c r="M9" s="1">
        <f t="shared" si="0"/>
        <v>21.916989244412726</v>
      </c>
      <c r="N9" t="s">
        <v>14</v>
      </c>
      <c r="O9">
        <v>300</v>
      </c>
      <c r="P9">
        <v>900</v>
      </c>
      <c r="Q9">
        <v>90</v>
      </c>
      <c r="R9">
        <v>45</v>
      </c>
      <c r="S9">
        <v>7</v>
      </c>
      <c r="T9">
        <v>6823.9654305852</v>
      </c>
      <c r="U9">
        <v>16</v>
      </c>
      <c r="V9">
        <v>29</v>
      </c>
      <c r="X9" t="s">
        <v>11</v>
      </c>
      <c r="Y9">
        <v>300</v>
      </c>
      <c r="Z9">
        <v>900</v>
      </c>
      <c r="AA9">
        <v>90</v>
      </c>
      <c r="AB9">
        <v>45</v>
      </c>
      <c r="AC9">
        <v>7</v>
      </c>
      <c r="AD9">
        <v>7418.73043298222</v>
      </c>
      <c r="AE9">
        <v>7418.6595585761197</v>
      </c>
      <c r="AF9">
        <v>13516.691677982701</v>
      </c>
      <c r="AG9" s="1">
        <v>15</v>
      </c>
      <c r="AH9">
        <v>30</v>
      </c>
      <c r="AI9" s="2">
        <v>2683.73400020599</v>
      </c>
      <c r="AJ9">
        <f t="shared" si="1"/>
        <v>8.0161938055701896</v>
      </c>
    </row>
    <row r="10" spans="1:36" x14ac:dyDescent="0.25">
      <c r="A10" t="s">
        <v>11</v>
      </c>
      <c r="B10">
        <v>300</v>
      </c>
      <c r="C10">
        <v>900</v>
      </c>
      <c r="D10">
        <v>90</v>
      </c>
      <c r="E10">
        <v>45</v>
      </c>
      <c r="F10">
        <v>8</v>
      </c>
      <c r="G10">
        <v>8718.5099540199699</v>
      </c>
      <c r="H10">
        <v>7286.8939455402297</v>
      </c>
      <c r="I10">
        <v>8718.4237360207899</v>
      </c>
      <c r="J10" s="1">
        <v>25</v>
      </c>
      <c r="K10">
        <v>20</v>
      </c>
      <c r="L10" s="2">
        <v>215.982000112533</v>
      </c>
      <c r="M10" s="1">
        <f t="shared" si="0"/>
        <v>19.646450451717179</v>
      </c>
      <c r="N10" t="s">
        <v>14</v>
      </c>
      <c r="O10">
        <v>300</v>
      </c>
      <c r="P10">
        <v>900</v>
      </c>
      <c r="Q10">
        <v>90</v>
      </c>
      <c r="R10">
        <v>45</v>
      </c>
      <c r="S10">
        <v>8</v>
      </c>
      <c r="T10">
        <v>7286.8939455402297</v>
      </c>
      <c r="U10">
        <v>19</v>
      </c>
      <c r="V10">
        <v>26</v>
      </c>
      <c r="X10" t="s">
        <v>11</v>
      </c>
      <c r="Y10">
        <v>300</v>
      </c>
      <c r="Z10">
        <v>900</v>
      </c>
      <c r="AA10">
        <v>90</v>
      </c>
      <c r="AB10">
        <v>45</v>
      </c>
      <c r="AC10">
        <v>8</v>
      </c>
      <c r="AD10">
        <v>7647.5674107459399</v>
      </c>
      <c r="AE10">
        <v>7647.46212794859</v>
      </c>
      <c r="AF10">
        <v>12904.617943273601</v>
      </c>
      <c r="AG10" s="1">
        <v>18</v>
      </c>
      <c r="AH10">
        <v>27</v>
      </c>
      <c r="AI10" s="2">
        <v>5602.1880002021699</v>
      </c>
      <c r="AJ10">
        <f t="shared" si="1"/>
        <v>4.7148737238020395</v>
      </c>
    </row>
    <row r="11" spans="1:36" x14ac:dyDescent="0.25">
      <c r="A11" t="s">
        <v>11</v>
      </c>
      <c r="B11">
        <v>300</v>
      </c>
      <c r="C11">
        <v>900</v>
      </c>
      <c r="D11">
        <v>90</v>
      </c>
      <c r="E11">
        <v>45</v>
      </c>
      <c r="F11">
        <v>9</v>
      </c>
      <c r="G11">
        <v>8186.9909704268703</v>
      </c>
      <c r="H11">
        <v>6704.5321415958497</v>
      </c>
      <c r="I11">
        <v>8186.9328205816901</v>
      </c>
      <c r="J11" s="1">
        <v>27</v>
      </c>
      <c r="K11">
        <v>18</v>
      </c>
      <c r="L11" s="2">
        <v>186.00099992752001</v>
      </c>
      <c r="M11" s="1">
        <f t="shared" si="0"/>
        <v>22.111294233845786</v>
      </c>
      <c r="N11" t="s">
        <v>14</v>
      </c>
      <c r="O11">
        <v>300</v>
      </c>
      <c r="P11">
        <v>900</v>
      </c>
      <c r="Q11">
        <v>90</v>
      </c>
      <c r="R11">
        <v>45</v>
      </c>
      <c r="S11">
        <v>9</v>
      </c>
      <c r="T11">
        <v>6704.5321415958497</v>
      </c>
      <c r="U11">
        <v>19</v>
      </c>
      <c r="V11">
        <v>26</v>
      </c>
      <c r="X11" t="s">
        <v>11</v>
      </c>
      <c r="Y11">
        <v>300</v>
      </c>
      <c r="Z11">
        <v>900</v>
      </c>
      <c r="AA11">
        <v>90</v>
      </c>
      <c r="AB11">
        <v>45</v>
      </c>
      <c r="AC11">
        <v>9</v>
      </c>
      <c r="AD11">
        <v>7166.9410864960801</v>
      </c>
      <c r="AE11">
        <v>7166.8967991546197</v>
      </c>
      <c r="AF11">
        <v>10692.1571271434</v>
      </c>
      <c r="AG11" s="1">
        <v>20</v>
      </c>
      <c r="AH11">
        <v>25</v>
      </c>
      <c r="AI11" s="2">
        <v>1461.27999997138</v>
      </c>
      <c r="AJ11">
        <f t="shared" si="1"/>
        <v>6.4513927089519241</v>
      </c>
    </row>
    <row r="13" spans="1:36" x14ac:dyDescent="0.25">
      <c r="A13" t="s">
        <v>19</v>
      </c>
      <c r="J13" s="1">
        <f>AVERAGE(J2:J11)</f>
        <v>26.5</v>
      </c>
      <c r="L13" s="2">
        <f>AVERAGE(L2:L11)</f>
        <v>230.24329996108935</v>
      </c>
      <c r="M13" s="1">
        <f>AVERAGE(M2:M11)</f>
        <v>21.311895497130461</v>
      </c>
      <c r="T13">
        <f>AVERAGE(T2:T11)</f>
        <v>6959.4499137610155</v>
      </c>
      <c r="U13">
        <f>AVERAGE(U2:U11)</f>
        <v>18.899999999999999</v>
      </c>
      <c r="AG13" s="1">
        <f>AVERAGE(AG2:AG11)</f>
        <v>18.5</v>
      </c>
      <c r="AI13" s="2">
        <f>AVERAGE(AI2:AI11)</f>
        <v>4746.4104000091493</v>
      </c>
      <c r="AJ13">
        <f>AVERAGE(AJ2:AJ11)</f>
        <v>5.3588654205485886</v>
      </c>
    </row>
    <row r="14" spans="1:36" x14ac:dyDescent="0.25">
      <c r="A14" t="s">
        <v>20</v>
      </c>
      <c r="J14" s="1">
        <f>_xlfn.STDEV.S(J2:J11)/SQRT(COUNT(J2:J11))</f>
        <v>0.81989159174992277</v>
      </c>
      <c r="L14" s="2">
        <f>_xlfn.STDEV.S(L2:L11)/SQRT(COUNT(L2:L11))</f>
        <v>22.052357871720037</v>
      </c>
      <c r="M14" s="1">
        <f>_xlfn.STDEV.S(M2:M11)/SQRT(COUNT(M2:M11))</f>
        <v>1.6028343093603106</v>
      </c>
      <c r="T14">
        <f>_xlfn.STDEV.S(T2:T11)/SQRT(COUNT(T2:T11))</f>
        <v>179.41351196747817</v>
      </c>
      <c r="U14">
        <f>_xlfn.STDEV.S(U2:U11)/SQRT(COUNT(U2:U11))</f>
        <v>0.94809751022185995</v>
      </c>
      <c r="AG14" s="1">
        <f>_xlfn.STDEV.S(AG2:AG11)/SQRT(COUNT(AG2:AG11))</f>
        <v>0.90982293759707866</v>
      </c>
      <c r="AI14" s="2">
        <f>_xlfn.STDEV.S(AI2:AI11)/SQRT(COUNT(AI2:AI11))</f>
        <v>1006.4683685132896</v>
      </c>
      <c r="AJ14">
        <f>_xlfn.STDEV.S(AJ2:AJ11)/SQRT(COUNT(AJ2:AJ11))</f>
        <v>0.80538264484771982</v>
      </c>
    </row>
    <row r="15" spans="1:36" x14ac:dyDescent="0.25">
      <c r="A15" t="s">
        <v>21</v>
      </c>
      <c r="J15" s="1">
        <f>MAX(J2:J11)</f>
        <v>30</v>
      </c>
      <c r="L15" s="2">
        <f>MAX(L2:L11)</f>
        <v>367.87800002097998</v>
      </c>
      <c r="M15" s="1">
        <f>MAX(M2:M11)</f>
        <v>30.87538122172414</v>
      </c>
      <c r="T15">
        <f>MAX(T2:T11)</f>
        <v>8121.7977491912397</v>
      </c>
      <c r="U15">
        <f>MAX(U2:U11)</f>
        <v>24</v>
      </c>
      <c r="AG15" s="1">
        <f>MAX(AG2:AG11)</f>
        <v>22</v>
      </c>
      <c r="AI15" s="2">
        <f>MAX(AI2:AI11)</f>
        <v>9857.0910000800995</v>
      </c>
      <c r="AJ15">
        <f>MAX(AJ2:AJ11)</f>
        <v>9.0842734052251117</v>
      </c>
    </row>
    <row r="16" spans="1:36" x14ac:dyDescent="0.25">
      <c r="A16" t="s">
        <v>22</v>
      </c>
      <c r="J16" s="1">
        <f>MIN(J2:J11)</f>
        <v>22</v>
      </c>
      <c r="L16" s="2">
        <f>MIN(L2:L11)</f>
        <v>105.68599987029999</v>
      </c>
      <c r="M16" s="1">
        <f>MIN(M2:M11)</f>
        <v>14.906105158033773</v>
      </c>
      <c r="T16">
        <f>MIN(T2:T11)</f>
        <v>6332.4883005138399</v>
      </c>
      <c r="U16">
        <f>MIN(U2:U11)</f>
        <v>13</v>
      </c>
      <c r="AG16" s="1">
        <f>MIN(AG2:AG11)</f>
        <v>13</v>
      </c>
      <c r="AI16" s="2">
        <f>MIN(AI2:AI11)</f>
        <v>1461.27999997138</v>
      </c>
      <c r="AJ16">
        <f>MIN(AJ2:AJ11)</f>
        <v>0.31992941241047029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ilpTable_constrained_infeasible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Sangho Shim</cp:lastModifiedBy>
  <dcterms:created xsi:type="dcterms:W3CDTF">2023-11-24T20:43:58Z</dcterms:created>
  <dcterms:modified xsi:type="dcterms:W3CDTF">2023-11-24T20:47:44Z</dcterms:modified>
</cp:coreProperties>
</file>